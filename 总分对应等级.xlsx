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调整成绩"/>
  </sheets>
  <calcPr fullCalcOnLoad="1"/>
</workbook>
</file>

<file path=xl/sharedStrings.xml><?xml version="1.0" encoding="utf-8"?>
<sst xmlns="http://schemas.openxmlformats.org/spreadsheetml/2006/main" count="105" uniqueCount="74">
  <si>
    <t>1</t>
  </si>
  <si>
    <t>许诺</t>
  </si>
  <si>
    <t>良好</t>
  </si>
  <si>
    <t>2</t>
  </si>
  <si>
    <t>韩燕彬</t>
  </si>
  <si>
    <t>中等</t>
  </si>
  <si>
    <t>3</t>
  </si>
  <si>
    <t>韩梅</t>
  </si>
  <si>
    <t>4</t>
  </si>
  <si>
    <t>朱新然</t>
  </si>
  <si>
    <t>5</t>
  </si>
  <si>
    <t>张紫琼</t>
  </si>
  <si>
    <t>6</t>
  </si>
  <si>
    <t>王欣苗</t>
  </si>
  <si>
    <t>7</t>
  </si>
  <si>
    <t>李彤彤</t>
  </si>
  <si>
    <t>8</t>
  </si>
  <si>
    <t>汪雨涵</t>
  </si>
  <si>
    <t>9</t>
  </si>
  <si>
    <t>赵文侠</t>
  </si>
  <si>
    <t>10</t>
  </si>
  <si>
    <t>谢娟娟</t>
  </si>
  <si>
    <t>11</t>
  </si>
  <si>
    <t>张妤</t>
  </si>
  <si>
    <t>12</t>
  </si>
  <si>
    <t>陈婷</t>
  </si>
  <si>
    <t>13</t>
  </si>
  <si>
    <t>蒋雨晴</t>
  </si>
  <si>
    <t>14</t>
  </si>
  <si>
    <t>李雨潇</t>
  </si>
  <si>
    <t>15</t>
  </si>
  <si>
    <t>王青</t>
  </si>
  <si>
    <t>16</t>
  </si>
  <si>
    <t>程雪</t>
  </si>
  <si>
    <t>17</t>
  </si>
  <si>
    <t>藕莉</t>
  </si>
  <si>
    <t>及格</t>
  </si>
  <si>
    <t>18</t>
  </si>
  <si>
    <t>赵佳琪</t>
  </si>
  <si>
    <t>19</t>
  </si>
  <si>
    <t>吴凡</t>
  </si>
  <si>
    <t>20</t>
  </si>
  <si>
    <t>李梦慈</t>
  </si>
  <si>
    <t>21</t>
  </si>
  <si>
    <t>徐静</t>
  </si>
  <si>
    <t>22</t>
  </si>
  <si>
    <t>张尹</t>
  </si>
  <si>
    <t>23</t>
  </si>
  <si>
    <t>张小倩</t>
  </si>
  <si>
    <t>24</t>
  </si>
  <si>
    <t>王雪</t>
  </si>
  <si>
    <t>25</t>
  </si>
  <si>
    <t>王亚豪</t>
  </si>
  <si>
    <t>26</t>
  </si>
  <si>
    <t>张涛</t>
  </si>
  <si>
    <t>27</t>
  </si>
  <si>
    <t>何丰</t>
  </si>
  <si>
    <t>28</t>
  </si>
  <si>
    <t>贺天义</t>
  </si>
  <si>
    <t>29</t>
  </si>
  <si>
    <t>于沛然</t>
  </si>
  <si>
    <t>30</t>
  </si>
  <si>
    <t>杨阿嵩</t>
  </si>
  <si>
    <t>31</t>
  </si>
  <si>
    <t>尹航</t>
  </si>
  <si>
    <t>32</t>
  </si>
  <si>
    <t>陈煜</t>
  </si>
  <si>
    <t>33</t>
  </si>
  <si>
    <t>王浩杰</t>
  </si>
  <si>
    <t>优秀</t>
  </si>
  <si>
    <t>34</t>
  </si>
  <si>
    <t>顾世伟</t>
  </si>
  <si>
    <t>35</t>
  </si>
  <si>
    <t>翟乐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</si>
</sst>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9"/>
      <color rgb="FF000000"/>
      <name val="等线"/>
      <family val="2"/>
    </font>
    <font>
      <sz val="9"/>
      <color rgb="FFff00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49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2" applyFill="1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2" applyFill="1" applyAlignment="1">
      <alignment horizontal="left" wrapText="1"/>
    </xf>
    <xf xfId="0" numFmtId="49" applyNumberFormat="1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4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5"/>
  <sheetViews>
    <sheetView workbookViewId="0" tabSelected="1"/>
  </sheetViews>
  <sheetFormatPr defaultRowHeight="15" x14ac:dyDescent="0.25"/>
  <cols>
    <col min="1" max="1" style="8" width="4.719285714285714" customWidth="1" bestFit="1"/>
    <col min="2" max="2" style="9" width="6.2907142857142855" customWidth="1" bestFit="1"/>
    <col min="3" max="3" style="10" width="8.862142857142858" customWidth="1" bestFit="1"/>
    <col min="4" max="4" style="10" width="8.862142857142858" customWidth="1" bestFit="1"/>
    <col min="5" max="5" style="10" width="8.862142857142858" customWidth="1" bestFit="1"/>
    <col min="6" max="6" style="10" width="8.862142857142858" customWidth="1" bestFit="1"/>
    <col min="7" max="7" style="10" width="8.862142857142858" customWidth="1" bestFit="1"/>
    <col min="8" max="8" style="10" width="8.862142857142858" customWidth="1" bestFit="1"/>
    <col min="9" max="9" style="10" width="8.862142857142858" customWidth="1" bestFit="1"/>
    <col min="10" max="10" style="10" width="8.862142857142858" customWidth="1" bestFit="1"/>
    <col min="11" max="11" style="10" width="8.862142857142858" customWidth="1" bestFit="1"/>
    <col min="12" max="12" style="10" width="8.862142857142858" customWidth="1" bestFit="1"/>
    <col min="13" max="13" style="11" width="8.862142857142858" customWidth="1" bestFit="1"/>
  </cols>
  <sheetData>
    <row x14ac:dyDescent="0.25" r="1" customHeight="1" ht="19.5" customFormat="1" s="1">
      <c r="A1" s="2" t="s">
        <v>0</v>
      </c>
      <c r="B1" s="3" t="s">
        <v>1</v>
      </c>
      <c r="C1" s="4" t="s">
        <v>2</v>
      </c>
      <c r="D1" s="5">
        <v>83</v>
      </c>
      <c r="E1" s="5">
        <v>79</v>
      </c>
      <c r="F1" s="5">
        <v>87</v>
      </c>
      <c r="G1" s="5">
        <v>76</v>
      </c>
      <c r="H1" s="5">
        <v>95</v>
      </c>
      <c r="I1" s="5">
        <v>79</v>
      </c>
      <c r="J1" s="5">
        <v>92</v>
      </c>
      <c r="K1" s="5">
        <v>99</v>
      </c>
      <c r="L1" s="6">
        <v>86</v>
      </c>
      <c r="M1" s="7">
        <f>D1*0.1+E1*0.05+F1*0.05+G1*0.2+H1*0.05+I1*0.05+J1*0.05+K1*0.05+L1*0.4</f>
      </c>
    </row>
    <row x14ac:dyDescent="0.25" r="2" customHeight="1" ht="19.5" customFormat="1" s="1">
      <c r="A2" s="2" t="s">
        <v>3</v>
      </c>
      <c r="B2" s="3" t="s">
        <v>4</v>
      </c>
      <c r="C2" s="4" t="s">
        <v>5</v>
      </c>
      <c r="D2" s="5">
        <v>89</v>
      </c>
      <c r="E2" s="5">
        <v>69</v>
      </c>
      <c r="F2" s="5">
        <v>88</v>
      </c>
      <c r="G2" s="5">
        <v>73</v>
      </c>
      <c r="H2" s="5">
        <v>91</v>
      </c>
      <c r="I2" s="5">
        <v>74</v>
      </c>
      <c r="J2" s="5">
        <v>92</v>
      </c>
      <c r="K2" s="5">
        <v>99</v>
      </c>
      <c r="L2" s="6">
        <v>80</v>
      </c>
      <c r="M2" s="7">
        <f>D2*0.1+E2*0.05+F2*0.05+G2*0.2+H2*0.05+I2*0.05+J2*0.05+K2*0.05+L2*0.4</f>
      </c>
    </row>
    <row x14ac:dyDescent="0.25" r="3" customHeight="1" ht="19.5" customFormat="1" s="1">
      <c r="A3" s="2" t="s">
        <v>6</v>
      </c>
      <c r="B3" s="3" t="s">
        <v>7</v>
      </c>
      <c r="C3" s="4" t="s">
        <v>2</v>
      </c>
      <c r="D3" s="5">
        <v>79</v>
      </c>
      <c r="E3" s="5">
        <v>80</v>
      </c>
      <c r="F3" s="5">
        <v>95</v>
      </c>
      <c r="G3" s="5">
        <v>84</v>
      </c>
      <c r="H3" s="5">
        <v>91</v>
      </c>
      <c r="I3" s="5">
        <v>77</v>
      </c>
      <c r="J3" s="5">
        <v>87</v>
      </c>
      <c r="K3" s="5">
        <v>90</v>
      </c>
      <c r="L3" s="6">
        <v>90</v>
      </c>
      <c r="M3" s="7">
        <f>D3*0.1+E3*0.05+F3*0.05+G3*0.2+H3*0.05+I3*0.05+J3*0.05+K3*0.05+L3*0.4</f>
      </c>
    </row>
    <row x14ac:dyDescent="0.25" r="4" customHeight="1" ht="19.5" customFormat="1" s="1">
      <c r="A4" s="2" t="s">
        <v>8</v>
      </c>
      <c r="B4" s="3" t="s">
        <v>9</v>
      </c>
      <c r="C4" s="4" t="s">
        <v>2</v>
      </c>
      <c r="D4" s="5">
        <v>82</v>
      </c>
      <c r="E4" s="5">
        <v>80</v>
      </c>
      <c r="F4" s="5">
        <v>93</v>
      </c>
      <c r="G4" s="5">
        <v>86</v>
      </c>
      <c r="H4" s="5">
        <v>88</v>
      </c>
      <c r="I4" s="5">
        <v>74</v>
      </c>
      <c r="J4" s="5">
        <v>84</v>
      </c>
      <c r="K4" s="5">
        <v>97</v>
      </c>
      <c r="L4" s="6">
        <v>88</v>
      </c>
      <c r="M4" s="7">
        <f>D4*0.1+E4*0.05+F4*0.05+G4*0.2+H4*0.05+I4*0.05+J4*0.05+K4*0.05+L4*0.4</f>
      </c>
    </row>
    <row x14ac:dyDescent="0.25" r="5" customHeight="1" ht="19.5" customFormat="1" s="1">
      <c r="A5" s="2" t="s">
        <v>10</v>
      </c>
      <c r="B5" s="3" t="s">
        <v>11</v>
      </c>
      <c r="C5" s="4" t="s">
        <v>5</v>
      </c>
      <c r="D5" s="5">
        <v>83</v>
      </c>
      <c r="E5" s="5">
        <v>79</v>
      </c>
      <c r="F5" s="5">
        <v>83</v>
      </c>
      <c r="G5" s="5">
        <v>78</v>
      </c>
      <c r="H5" s="5">
        <v>61</v>
      </c>
      <c r="I5" s="5">
        <v>74</v>
      </c>
      <c r="J5" s="5">
        <v>93</v>
      </c>
      <c r="K5" s="5">
        <v>98</v>
      </c>
      <c r="L5" s="6">
        <v>85</v>
      </c>
      <c r="M5" s="7">
        <f>D5*0.1+E5*0.05+F5*0.05+G5*0.2+H5*0.05+I5*0.05+J5*0.05+K5*0.05+L5*0.4</f>
      </c>
    </row>
    <row x14ac:dyDescent="0.25" r="6" customHeight="1" ht="19.5" customFormat="1" s="1">
      <c r="A6" s="2" t="s">
        <v>12</v>
      </c>
      <c r="B6" s="3" t="s">
        <v>13</v>
      </c>
      <c r="C6" s="4" t="s">
        <v>5</v>
      </c>
      <c r="D6" s="5">
        <v>74</v>
      </c>
      <c r="E6" s="5">
        <v>74</v>
      </c>
      <c r="F6" s="5">
        <v>94</v>
      </c>
      <c r="G6" s="5">
        <v>74</v>
      </c>
      <c r="H6" s="5">
        <v>97</v>
      </c>
      <c r="I6" s="5">
        <v>72</v>
      </c>
      <c r="J6" s="5">
        <v>98</v>
      </c>
      <c r="K6" s="5">
        <v>90</v>
      </c>
      <c r="L6" s="6">
        <v>80</v>
      </c>
      <c r="M6" s="7">
        <f>D6*0.1+E6*0.05+F6*0.05+G6*0.2+H6*0.05+I6*0.05+J6*0.05+K6*0.05+L6*0.4</f>
      </c>
    </row>
    <row x14ac:dyDescent="0.25" r="7" customHeight="1" ht="19.5" customFormat="1" s="1">
      <c r="A7" s="2" t="s">
        <v>14</v>
      </c>
      <c r="B7" s="3" t="s">
        <v>15</v>
      </c>
      <c r="C7" s="4" t="s">
        <v>5</v>
      </c>
      <c r="D7" s="5">
        <v>77</v>
      </c>
      <c r="E7" s="5">
        <v>80</v>
      </c>
      <c r="F7" s="5">
        <v>99</v>
      </c>
      <c r="G7" s="5">
        <v>74</v>
      </c>
      <c r="H7" s="5">
        <v>87</v>
      </c>
      <c r="I7" s="5">
        <v>91</v>
      </c>
      <c r="J7" s="5">
        <v>97</v>
      </c>
      <c r="K7" s="5">
        <v>71</v>
      </c>
      <c r="L7" s="6">
        <v>86</v>
      </c>
      <c r="M7" s="7">
        <f>D7*0.1+E7*0.05+F7*0.05+G7*0.2+H7*0.05+I7*0.05+J7*0.05+K7*0.05+L7*0.4</f>
      </c>
    </row>
    <row x14ac:dyDescent="0.25" r="8" customHeight="1" ht="19.5" customFormat="1" s="1">
      <c r="A8" s="2" t="s">
        <v>16</v>
      </c>
      <c r="B8" s="3" t="s">
        <v>17</v>
      </c>
      <c r="C8" s="4" t="s">
        <v>5</v>
      </c>
      <c r="D8" s="5">
        <v>76</v>
      </c>
      <c r="E8" s="5">
        <v>66</v>
      </c>
      <c r="F8" s="5">
        <v>84</v>
      </c>
      <c r="G8" s="5">
        <v>69</v>
      </c>
      <c r="H8" s="5">
        <v>66</v>
      </c>
      <c r="I8" s="5">
        <v>93</v>
      </c>
      <c r="J8" s="5">
        <v>98</v>
      </c>
      <c r="K8" s="5">
        <v>97</v>
      </c>
      <c r="L8" s="6">
        <v>85</v>
      </c>
      <c r="M8" s="7">
        <f>D8*0.1+E8*0.05+F8*0.05+G8*0.2+H8*0.05+I8*0.05+J8*0.05+K8*0.05+L8*0.4</f>
      </c>
    </row>
    <row x14ac:dyDescent="0.25" r="9" customHeight="1" ht="19.5" customFormat="1" s="1">
      <c r="A9" s="2" t="s">
        <v>18</v>
      </c>
      <c r="B9" s="3" t="s">
        <v>19</v>
      </c>
      <c r="C9" s="4" t="s">
        <v>2</v>
      </c>
      <c r="D9" s="5">
        <v>96</v>
      </c>
      <c r="E9" s="5">
        <v>90</v>
      </c>
      <c r="F9" s="5">
        <v>60</v>
      </c>
      <c r="G9" s="5">
        <v>80</v>
      </c>
      <c r="H9" s="5">
        <v>60</v>
      </c>
      <c r="I9" s="5">
        <v>70</v>
      </c>
      <c r="J9" s="5">
        <v>60</v>
      </c>
      <c r="K9" s="5">
        <v>98</v>
      </c>
      <c r="L9" s="6">
        <v>78</v>
      </c>
      <c r="M9" s="7">
        <f>D9*0.1+E9*0.05+F9*0.05+G9*0.2+H9*0.05+I9*0.05+J9*0.05+K9*0.05+L9*0.4</f>
      </c>
    </row>
    <row x14ac:dyDescent="0.25" r="10" customHeight="1" ht="19.5" customFormat="1" s="1">
      <c r="A10" s="2" t="s">
        <v>20</v>
      </c>
      <c r="B10" s="3" t="s">
        <v>21</v>
      </c>
      <c r="C10" s="4" t="s">
        <v>2</v>
      </c>
      <c r="D10" s="5">
        <v>88</v>
      </c>
      <c r="E10" s="5">
        <v>69</v>
      </c>
      <c r="F10" s="5">
        <v>90</v>
      </c>
      <c r="G10" s="5">
        <v>75</v>
      </c>
      <c r="H10" s="5">
        <v>97</v>
      </c>
      <c r="I10" s="5">
        <v>60</v>
      </c>
      <c r="J10" s="5">
        <v>97</v>
      </c>
      <c r="K10" s="5">
        <v>77</v>
      </c>
      <c r="L10" s="6">
        <v>88</v>
      </c>
      <c r="M10" s="7">
        <f>D10*0.1+E10*0.05+F10*0.05+G10*0.2+H10*0.05+I10*0.05+J10*0.05+K10*0.05+L10*0.4</f>
      </c>
    </row>
    <row x14ac:dyDescent="0.25" r="11" customHeight="1" ht="19.5" customFormat="1" s="1">
      <c r="A11" s="2" t="s">
        <v>22</v>
      </c>
      <c r="B11" s="3" t="s">
        <v>23</v>
      </c>
      <c r="C11" s="4" t="s">
        <v>2</v>
      </c>
      <c r="D11" s="5">
        <v>91</v>
      </c>
      <c r="E11" s="5">
        <v>83</v>
      </c>
      <c r="F11" s="5">
        <v>92</v>
      </c>
      <c r="G11" s="5">
        <v>80</v>
      </c>
      <c r="H11" s="5">
        <v>80</v>
      </c>
      <c r="I11" s="5">
        <v>93</v>
      </c>
      <c r="J11" s="5">
        <v>94</v>
      </c>
      <c r="K11" s="5">
        <v>98</v>
      </c>
      <c r="L11" s="6">
        <v>88</v>
      </c>
      <c r="M11" s="7">
        <f>D11*0.1+E11*0.05+F11*0.05+G11*0.2+H11*0.05+I11*0.05+J11*0.05+K11*0.05+L11*0.4</f>
      </c>
    </row>
    <row x14ac:dyDescent="0.25" r="12" customHeight="1" ht="19.5" customFormat="1" s="1">
      <c r="A12" s="2" t="s">
        <v>24</v>
      </c>
      <c r="B12" s="3" t="s">
        <v>25</v>
      </c>
      <c r="C12" s="4" t="s">
        <v>2</v>
      </c>
      <c r="D12" s="5">
        <v>79</v>
      </c>
      <c r="E12" s="5">
        <v>78</v>
      </c>
      <c r="F12" s="5">
        <v>98</v>
      </c>
      <c r="G12" s="5">
        <v>88</v>
      </c>
      <c r="H12" s="5">
        <v>91</v>
      </c>
      <c r="I12" s="5">
        <v>79</v>
      </c>
      <c r="J12" s="5">
        <v>99</v>
      </c>
      <c r="K12" s="5">
        <v>97</v>
      </c>
      <c r="L12" s="6">
        <v>90</v>
      </c>
      <c r="M12" s="7">
        <f>D12*0.1+E12*0.05+F12*0.05+G12*0.2+H12*0.05+I12*0.05+J12*0.05+K12*0.05+L12*0.4</f>
      </c>
    </row>
    <row x14ac:dyDescent="0.25" r="13" customHeight="1" ht="19.5" customFormat="1" s="1">
      <c r="A13" s="2" t="s">
        <v>26</v>
      </c>
      <c r="B13" s="3" t="s">
        <v>27</v>
      </c>
      <c r="C13" s="4" t="s">
        <v>2</v>
      </c>
      <c r="D13" s="5">
        <v>85</v>
      </c>
      <c r="E13" s="5">
        <v>90</v>
      </c>
      <c r="F13" s="5">
        <v>96</v>
      </c>
      <c r="G13" s="5">
        <v>64</v>
      </c>
      <c r="H13" s="5">
        <v>91</v>
      </c>
      <c r="I13" s="5">
        <v>75</v>
      </c>
      <c r="J13" s="5">
        <v>99</v>
      </c>
      <c r="K13" s="5">
        <v>96</v>
      </c>
      <c r="L13" s="6">
        <v>90</v>
      </c>
      <c r="M13" s="7">
        <f>D13*0.1+E13*0.05+F13*0.05+G13*0.2+H13*0.05+I13*0.05+J13*0.05+K13*0.05+L13*0.4</f>
      </c>
    </row>
    <row x14ac:dyDescent="0.25" r="14" customHeight="1" ht="19.5" customFormat="1" s="1">
      <c r="A14" s="2" t="s">
        <v>28</v>
      </c>
      <c r="B14" s="3" t="s">
        <v>29</v>
      </c>
      <c r="C14" s="4" t="s">
        <v>2</v>
      </c>
      <c r="D14" s="5">
        <v>88</v>
      </c>
      <c r="E14" s="5">
        <v>90</v>
      </c>
      <c r="F14" s="5">
        <v>94</v>
      </c>
      <c r="G14" s="5">
        <v>62</v>
      </c>
      <c r="H14" s="5">
        <v>90</v>
      </c>
      <c r="I14" s="5">
        <v>75</v>
      </c>
      <c r="J14" s="5">
        <v>60</v>
      </c>
      <c r="K14" s="5">
        <v>92</v>
      </c>
      <c r="L14" s="6">
        <v>87</v>
      </c>
      <c r="M14" s="7">
        <f>D14*0.1+E14*0.05+F14*0.05+G14*0.2+H14*0.05+I14*0.05+J14*0.05+K14*0.05+L14*0.4</f>
      </c>
    </row>
    <row x14ac:dyDescent="0.25" r="15" customHeight="1" ht="19.5" customFormat="1" s="1">
      <c r="A15" s="2" t="s">
        <v>30</v>
      </c>
      <c r="B15" s="3" t="s">
        <v>31</v>
      </c>
      <c r="C15" s="4" t="s">
        <v>2</v>
      </c>
      <c r="D15" s="5">
        <v>80</v>
      </c>
      <c r="E15" s="5">
        <v>75</v>
      </c>
      <c r="F15" s="5">
        <v>91</v>
      </c>
      <c r="G15" s="5">
        <v>85</v>
      </c>
      <c r="H15" s="5">
        <v>92</v>
      </c>
      <c r="I15" s="5">
        <v>81</v>
      </c>
      <c r="J15" s="5">
        <v>98</v>
      </c>
      <c r="K15" s="5">
        <v>93</v>
      </c>
      <c r="L15" s="6">
        <v>93</v>
      </c>
      <c r="M15" s="7">
        <f>D15*0.1+E15*0.05+F15*0.05+G15*0.2+H15*0.05+I15*0.05+J15*0.05+K15*0.05+L15*0.4</f>
      </c>
    </row>
    <row x14ac:dyDescent="0.25" r="16" customHeight="1" ht="19.5" customFormat="1" s="1">
      <c r="A16" s="2" t="s">
        <v>32</v>
      </c>
      <c r="B16" s="3" t="s">
        <v>33</v>
      </c>
      <c r="C16" s="4" t="s">
        <v>5</v>
      </c>
      <c r="D16" s="5">
        <v>84</v>
      </c>
      <c r="E16" s="5">
        <v>79</v>
      </c>
      <c r="F16" s="5">
        <v>98</v>
      </c>
      <c r="G16" s="5">
        <v>80</v>
      </c>
      <c r="H16" s="5">
        <v>79</v>
      </c>
      <c r="I16" s="5">
        <v>82</v>
      </c>
      <c r="J16" s="5">
        <v>98</v>
      </c>
      <c r="K16" s="5">
        <v>82</v>
      </c>
      <c r="L16" s="6">
        <v>77</v>
      </c>
      <c r="M16" s="7">
        <f>D16*0.1+E16*0.05+F16*0.05+G16*0.2+H16*0.05+I16*0.05+J16*0.05+K16*0.05+L16*0.4</f>
      </c>
    </row>
    <row x14ac:dyDescent="0.25" r="17" customHeight="1" ht="19.5" customFormat="1" s="1">
      <c r="A17" s="2" t="s">
        <v>34</v>
      </c>
      <c r="B17" s="3" t="s">
        <v>35</v>
      </c>
      <c r="C17" s="4" t="s">
        <v>36</v>
      </c>
      <c r="D17" s="5">
        <v>61</v>
      </c>
      <c r="E17" s="5">
        <v>74</v>
      </c>
      <c r="F17" s="5">
        <v>76</v>
      </c>
      <c r="G17" s="5">
        <v>76</v>
      </c>
      <c r="H17" s="5">
        <v>63</v>
      </c>
      <c r="I17" s="5">
        <v>65</v>
      </c>
      <c r="J17" s="5">
        <v>98</v>
      </c>
      <c r="K17" s="5">
        <v>92</v>
      </c>
      <c r="L17" s="6">
        <v>82</v>
      </c>
      <c r="M17" s="7">
        <f>D17*0.1+E17*0.05+F17*0.05+G17*0.2+H17*0.05+I17*0.05+J17*0.05+K17*0.05+L17*0.4</f>
      </c>
    </row>
    <row x14ac:dyDescent="0.25" r="18" customHeight="1" ht="19.5" customFormat="1" s="1">
      <c r="A18" s="2" t="s">
        <v>37</v>
      </c>
      <c r="B18" s="3" t="s">
        <v>38</v>
      </c>
      <c r="C18" s="4" t="s">
        <v>5</v>
      </c>
      <c r="D18" s="5">
        <v>90</v>
      </c>
      <c r="E18" s="5">
        <v>82</v>
      </c>
      <c r="F18" s="5">
        <v>78</v>
      </c>
      <c r="G18" s="5">
        <v>64</v>
      </c>
      <c r="H18" s="5">
        <v>91</v>
      </c>
      <c r="I18" s="5">
        <v>63</v>
      </c>
      <c r="J18" s="5">
        <v>96</v>
      </c>
      <c r="K18" s="5">
        <v>86</v>
      </c>
      <c r="L18" s="6">
        <v>88</v>
      </c>
      <c r="M18" s="7">
        <f>D18*0.1+E18*0.05+F18*0.05+G18*0.2+H18*0.05+I18*0.05+J18*0.05+K18*0.05+L18*0.4</f>
      </c>
    </row>
    <row x14ac:dyDescent="0.25" r="19" customHeight="1" ht="18" customFormat="1" s="1">
      <c r="A19" s="2" t="s">
        <v>39</v>
      </c>
      <c r="B19" s="3" t="s">
        <v>40</v>
      </c>
      <c r="C19" s="4" t="s">
        <v>2</v>
      </c>
      <c r="D19" s="5">
        <v>84</v>
      </c>
      <c r="E19" s="5">
        <v>85</v>
      </c>
      <c r="F19" s="5">
        <v>95</v>
      </c>
      <c r="G19" s="5">
        <v>66</v>
      </c>
      <c r="H19" s="5">
        <v>95</v>
      </c>
      <c r="I19" s="5">
        <v>70</v>
      </c>
      <c r="J19" s="5">
        <v>98</v>
      </c>
      <c r="K19" s="5">
        <v>99</v>
      </c>
      <c r="L19" s="6">
        <v>95</v>
      </c>
      <c r="M19" s="7">
        <f>D19*0.1+E19*0.05+F19*0.05+G19*0.2+H19*0.05+I19*0.05+J19*0.05+K19*0.05+L19*0.4</f>
      </c>
    </row>
    <row x14ac:dyDescent="0.25" r="20" customHeight="1" ht="18" customFormat="1" s="1">
      <c r="A20" s="2" t="s">
        <v>41</v>
      </c>
      <c r="B20" s="3" t="s">
        <v>42</v>
      </c>
      <c r="C20" s="4" t="s">
        <v>5</v>
      </c>
      <c r="D20" s="5">
        <v>76</v>
      </c>
      <c r="E20" s="5">
        <v>77</v>
      </c>
      <c r="F20" s="5">
        <v>95</v>
      </c>
      <c r="G20" s="5">
        <v>80</v>
      </c>
      <c r="H20" s="5">
        <v>92</v>
      </c>
      <c r="I20" s="5">
        <v>88</v>
      </c>
      <c r="J20" s="5">
        <v>71</v>
      </c>
      <c r="K20" s="5">
        <v>75</v>
      </c>
      <c r="L20" s="6">
        <v>85</v>
      </c>
      <c r="M20" s="7">
        <f>D20*0.1+E20*0.05+F20*0.05+G20*0.2+H20*0.05+I20*0.05+J20*0.05+K20*0.05+L20*0.4</f>
      </c>
    </row>
    <row x14ac:dyDescent="0.25" r="21" customHeight="1" ht="18" customFormat="1" s="1">
      <c r="A21" s="2" t="s">
        <v>43</v>
      </c>
      <c r="B21" s="3" t="s">
        <v>44</v>
      </c>
      <c r="C21" s="4" t="s">
        <v>2</v>
      </c>
      <c r="D21" s="5">
        <v>94</v>
      </c>
      <c r="E21" s="5">
        <v>77</v>
      </c>
      <c r="F21" s="5">
        <v>97</v>
      </c>
      <c r="G21" s="5">
        <v>80</v>
      </c>
      <c r="H21" s="5">
        <v>96</v>
      </c>
      <c r="I21" s="5">
        <v>75</v>
      </c>
      <c r="J21" s="5">
        <v>99</v>
      </c>
      <c r="K21" s="5">
        <v>90</v>
      </c>
      <c r="L21" s="6">
        <v>95</v>
      </c>
      <c r="M21" s="7">
        <f>D21*0.1+E21*0.05+F21*0.05+G21*0.2+H21*0.05+I21*0.05+J21*0.05+K21*0.05+L21*0.4</f>
      </c>
    </row>
    <row x14ac:dyDescent="0.25" r="22" customHeight="1" ht="18" customFormat="1" s="1">
      <c r="A22" s="2" t="s">
        <v>45</v>
      </c>
      <c r="B22" s="3" t="s">
        <v>46</v>
      </c>
      <c r="C22" s="4" t="s">
        <v>5</v>
      </c>
      <c r="D22" s="5">
        <v>84</v>
      </c>
      <c r="E22" s="5">
        <v>70</v>
      </c>
      <c r="F22" s="5">
        <v>92</v>
      </c>
      <c r="G22" s="5">
        <v>83</v>
      </c>
      <c r="H22" s="5">
        <v>86</v>
      </c>
      <c r="I22" s="5">
        <v>75</v>
      </c>
      <c r="J22" s="5">
        <v>94</v>
      </c>
      <c r="K22" s="5">
        <v>97</v>
      </c>
      <c r="L22" s="6">
        <v>85</v>
      </c>
      <c r="M22" s="7">
        <f>D22*0.1+E22*0.05+F22*0.05+G22*0.2+H22*0.05+I22*0.05+J22*0.05+K22*0.05+L22*0.4</f>
      </c>
    </row>
    <row x14ac:dyDescent="0.25" r="23" customHeight="1" ht="18" customFormat="1" s="1">
      <c r="A23" s="2" t="s">
        <v>47</v>
      </c>
      <c r="B23" s="3" t="s">
        <v>48</v>
      </c>
      <c r="C23" s="4" t="s">
        <v>5</v>
      </c>
      <c r="D23" s="5">
        <v>88</v>
      </c>
      <c r="E23" s="5">
        <v>83</v>
      </c>
      <c r="F23" s="5">
        <v>78</v>
      </c>
      <c r="G23" s="5">
        <v>90</v>
      </c>
      <c r="H23" s="5">
        <v>96</v>
      </c>
      <c r="I23" s="5">
        <v>65</v>
      </c>
      <c r="J23" s="5">
        <v>98</v>
      </c>
      <c r="K23" s="5">
        <v>93</v>
      </c>
      <c r="L23" s="6">
        <v>84</v>
      </c>
      <c r="M23" s="7">
        <f>D23*0.1+E23*0.05+F23*0.05+G23*0.2+H23*0.05+I23*0.05+J23*0.05+K23*0.05+L23*0.4</f>
      </c>
    </row>
    <row x14ac:dyDescent="0.25" r="24" customHeight="1" ht="18" customFormat="1" s="1">
      <c r="A24" s="2" t="s">
        <v>49</v>
      </c>
      <c r="B24" s="3" t="s">
        <v>50</v>
      </c>
      <c r="C24" s="4" t="s">
        <v>5</v>
      </c>
      <c r="D24" s="5">
        <v>82</v>
      </c>
      <c r="E24" s="5">
        <v>68</v>
      </c>
      <c r="F24" s="5">
        <v>94</v>
      </c>
      <c r="G24" s="5">
        <v>76</v>
      </c>
      <c r="H24" s="5">
        <v>90</v>
      </c>
      <c r="I24" s="5">
        <v>75</v>
      </c>
      <c r="J24" s="5">
        <v>98</v>
      </c>
      <c r="K24" s="5">
        <v>95</v>
      </c>
      <c r="L24" s="6">
        <v>75</v>
      </c>
      <c r="M24" s="7">
        <f>D24*0.1+E24*0.05+F24*0.05+G24*0.2+H24*0.05+I24*0.05+J24*0.05+K24*0.05+L24*0.4</f>
      </c>
    </row>
    <row x14ac:dyDescent="0.25" r="25" customHeight="1" ht="18" customFormat="1" s="1">
      <c r="A25" s="2" t="s">
        <v>51</v>
      </c>
      <c r="B25" s="3" t="s">
        <v>52</v>
      </c>
      <c r="C25" s="4" t="s">
        <v>36</v>
      </c>
      <c r="D25" s="5">
        <v>84</v>
      </c>
      <c r="E25" s="5">
        <v>79</v>
      </c>
      <c r="F25" s="5">
        <v>95</v>
      </c>
      <c r="G25" s="5">
        <v>79</v>
      </c>
      <c r="H25" s="5">
        <v>97</v>
      </c>
      <c r="I25" s="5">
        <v>60</v>
      </c>
      <c r="J25" s="5">
        <v>60</v>
      </c>
      <c r="K25" s="5">
        <v>0</v>
      </c>
      <c r="L25" s="6">
        <v>73</v>
      </c>
      <c r="M25" s="7">
        <f>D25*0.1+E25*0.05+F25*0.05+G25*0.2+H25*0.05+I25*0.05+J25*0.05+K25*0.05+L25*0.4</f>
      </c>
    </row>
    <row x14ac:dyDescent="0.25" r="26" customHeight="1" ht="18" customFormat="1" s="1">
      <c r="A26" s="2" t="s">
        <v>53</v>
      </c>
      <c r="B26" s="3" t="s">
        <v>54</v>
      </c>
      <c r="C26" s="4" t="s">
        <v>5</v>
      </c>
      <c r="D26" s="5">
        <v>74</v>
      </c>
      <c r="E26" s="5">
        <v>68</v>
      </c>
      <c r="F26" s="5">
        <v>83</v>
      </c>
      <c r="G26" s="5">
        <v>69</v>
      </c>
      <c r="H26" s="5">
        <v>65</v>
      </c>
      <c r="I26" s="5">
        <v>81</v>
      </c>
      <c r="J26" s="5">
        <v>60</v>
      </c>
      <c r="K26" s="5">
        <v>91</v>
      </c>
      <c r="L26" s="6">
        <v>85</v>
      </c>
      <c r="M26" s="7">
        <f>D26*0.1+E26*0.05+F26*0.05+G26*0.2+H26*0.05+I26*0.05+J26*0.05+K26*0.05+L26*0.4</f>
      </c>
    </row>
    <row x14ac:dyDescent="0.25" r="27" customHeight="1" ht="18" customFormat="1" s="1">
      <c r="A27" s="2" t="s">
        <v>55</v>
      </c>
      <c r="B27" s="3" t="s">
        <v>56</v>
      </c>
      <c r="C27" s="4" t="s">
        <v>5</v>
      </c>
      <c r="D27" s="5">
        <v>87</v>
      </c>
      <c r="E27" s="5">
        <v>67</v>
      </c>
      <c r="F27" s="5">
        <v>92</v>
      </c>
      <c r="G27" s="5">
        <v>68</v>
      </c>
      <c r="H27" s="5">
        <v>70</v>
      </c>
      <c r="I27" s="5">
        <v>89</v>
      </c>
      <c r="J27" s="5">
        <v>85</v>
      </c>
      <c r="K27" s="5">
        <v>91</v>
      </c>
      <c r="L27" s="6">
        <v>78</v>
      </c>
      <c r="M27" s="7">
        <f>D27*0.1+E27*0.05+F27*0.05+G27*0.2+H27*0.05+I27*0.05+J27*0.05+K27*0.05+L27*0.4</f>
      </c>
    </row>
    <row x14ac:dyDescent="0.25" r="28" customHeight="1" ht="18" customFormat="1" s="1">
      <c r="A28" s="2" t="s">
        <v>57</v>
      </c>
      <c r="B28" s="3" t="s">
        <v>58</v>
      </c>
      <c r="C28" s="4" t="s">
        <v>36</v>
      </c>
      <c r="D28" s="5">
        <v>86</v>
      </c>
      <c r="E28" s="5">
        <v>65</v>
      </c>
      <c r="F28" s="5">
        <v>81</v>
      </c>
      <c r="G28" s="5">
        <v>63</v>
      </c>
      <c r="H28" s="5">
        <v>61</v>
      </c>
      <c r="I28" s="5">
        <v>74</v>
      </c>
      <c r="J28" s="5">
        <v>93</v>
      </c>
      <c r="K28" s="5">
        <v>98</v>
      </c>
      <c r="L28" s="6">
        <v>87</v>
      </c>
      <c r="M28" s="7">
        <f>D28*0.1+E28*0.05+F28*0.05+G28*0.2+H28*0.05+I28*0.05+J28*0.05+K28*0.05+L28*0.4</f>
      </c>
    </row>
    <row x14ac:dyDescent="0.25" r="29" customHeight="1" ht="18" customFormat="1" s="1">
      <c r="A29" s="2" t="s">
        <v>59</v>
      </c>
      <c r="B29" s="3" t="s">
        <v>60</v>
      </c>
      <c r="C29" s="4" t="s">
        <v>5</v>
      </c>
      <c r="D29" s="5">
        <v>83</v>
      </c>
      <c r="E29" s="5">
        <v>83</v>
      </c>
      <c r="F29" s="5">
        <v>93</v>
      </c>
      <c r="G29" s="5">
        <v>78</v>
      </c>
      <c r="H29" s="5">
        <v>93</v>
      </c>
      <c r="I29" s="5">
        <v>79</v>
      </c>
      <c r="J29" s="5">
        <v>97</v>
      </c>
      <c r="K29" s="5">
        <v>84</v>
      </c>
      <c r="L29" s="6">
        <v>82</v>
      </c>
      <c r="M29" s="7">
        <f>D29*0.1+E29*0.05+F29*0.05+G29*0.2+H29*0.05+I29*0.05+J29*0.05+K29*0.05+L29*0.4</f>
      </c>
    </row>
    <row x14ac:dyDescent="0.25" r="30" customHeight="1" ht="18" customFormat="1" s="1">
      <c r="A30" s="2" t="s">
        <v>61</v>
      </c>
      <c r="B30" s="3" t="s">
        <v>62</v>
      </c>
      <c r="C30" s="4" t="s">
        <v>5</v>
      </c>
      <c r="D30" s="5">
        <v>91</v>
      </c>
      <c r="E30" s="5">
        <v>68</v>
      </c>
      <c r="F30" s="5">
        <v>77</v>
      </c>
      <c r="G30" s="5">
        <v>76</v>
      </c>
      <c r="H30" s="5">
        <v>77</v>
      </c>
      <c r="I30" s="5">
        <v>96</v>
      </c>
      <c r="J30" s="5">
        <v>99</v>
      </c>
      <c r="K30" s="5">
        <v>99</v>
      </c>
      <c r="L30" s="6">
        <v>85</v>
      </c>
      <c r="M30" s="7">
        <f>D30*0.1+E30*0.05+F30*0.05+G30*0.2+H30*0.05+I30*0.05+J30*0.05+K30*0.05+L30*0.4</f>
      </c>
    </row>
    <row x14ac:dyDescent="0.25" r="31" customHeight="1" ht="18" customFormat="1" s="1">
      <c r="A31" s="2" t="s">
        <v>63</v>
      </c>
      <c r="B31" s="3" t="s">
        <v>64</v>
      </c>
      <c r="C31" s="4" t="s">
        <v>5</v>
      </c>
      <c r="D31" s="5">
        <v>77</v>
      </c>
      <c r="E31" s="5">
        <v>65</v>
      </c>
      <c r="F31" s="5">
        <v>68</v>
      </c>
      <c r="G31" s="5">
        <v>75</v>
      </c>
      <c r="H31" s="5">
        <v>89</v>
      </c>
      <c r="I31" s="5">
        <v>60</v>
      </c>
      <c r="J31" s="5">
        <v>60</v>
      </c>
      <c r="K31" s="5">
        <v>97</v>
      </c>
      <c r="L31" s="6">
        <v>90</v>
      </c>
      <c r="M31" s="7">
        <f>D31*0.1+E31*0.05+F31*0.05+G31*0.2+H31*0.05+I31*0.05+J31*0.05+K31*0.05+L31*0.4</f>
      </c>
    </row>
    <row x14ac:dyDescent="0.25" r="32" customHeight="1" ht="18" customFormat="1" s="1">
      <c r="A32" s="2" t="s">
        <v>65</v>
      </c>
      <c r="B32" s="3" t="s">
        <v>66</v>
      </c>
      <c r="C32" s="4" t="s">
        <v>2</v>
      </c>
      <c r="D32" s="5">
        <v>84</v>
      </c>
      <c r="E32" s="5">
        <v>74</v>
      </c>
      <c r="F32" s="5">
        <v>75</v>
      </c>
      <c r="G32" s="5">
        <v>74</v>
      </c>
      <c r="H32" s="5">
        <v>90</v>
      </c>
      <c r="I32" s="5">
        <v>91</v>
      </c>
      <c r="J32" s="5">
        <v>99</v>
      </c>
      <c r="K32" s="5">
        <v>99</v>
      </c>
      <c r="L32" s="6">
        <v>89</v>
      </c>
      <c r="M32" s="7">
        <f>D32*0.1+E32*0.05+F32*0.05+G32*0.2+H32*0.05+I32*0.05+J32*0.05+K32*0.05+L32*0.4</f>
      </c>
    </row>
    <row x14ac:dyDescent="0.25" r="33" customHeight="1" ht="18" customFormat="1" s="1">
      <c r="A33" s="2" t="s">
        <v>67</v>
      </c>
      <c r="B33" s="3" t="s">
        <v>68</v>
      </c>
      <c r="C33" s="4" t="s">
        <v>69</v>
      </c>
      <c r="D33" s="5">
        <v>60</v>
      </c>
      <c r="E33" s="5">
        <v>81</v>
      </c>
      <c r="F33" s="5">
        <v>99</v>
      </c>
      <c r="G33" s="5">
        <v>76</v>
      </c>
      <c r="H33" s="5">
        <v>96</v>
      </c>
      <c r="I33" s="5">
        <v>60</v>
      </c>
      <c r="J33" s="5">
        <v>99</v>
      </c>
      <c r="K33" s="5">
        <v>97</v>
      </c>
      <c r="L33" s="6">
        <v>83</v>
      </c>
      <c r="M33" s="7">
        <f>D33*0.1+E33*0.05+F33*0.05+G33*0.2+H33*0.05+I33*0.05+J33*0.05+K33*0.05+L33*0.4</f>
      </c>
    </row>
    <row x14ac:dyDescent="0.25" r="34" customHeight="1" ht="18" customFormat="1" s="1">
      <c r="A34" s="2" t="s">
        <v>70</v>
      </c>
      <c r="B34" s="3" t="s">
        <v>71</v>
      </c>
      <c r="C34" s="4" t="s">
        <v>69</v>
      </c>
      <c r="D34" s="5">
        <v>86</v>
      </c>
      <c r="E34" s="5">
        <v>79</v>
      </c>
      <c r="F34" s="5">
        <v>96</v>
      </c>
      <c r="G34" s="5">
        <v>79</v>
      </c>
      <c r="H34" s="5">
        <v>100</v>
      </c>
      <c r="I34" s="5">
        <v>77</v>
      </c>
      <c r="J34" s="5">
        <v>100</v>
      </c>
      <c r="K34" s="5">
        <v>95</v>
      </c>
      <c r="L34" s="6">
        <v>98</v>
      </c>
      <c r="M34" s="7">
        <f>D34*0.1+E34*0.05+F34*0.05+G34*0.2+H34*0.05+I34*0.05+J34*0.05+K34*0.05+L34*0.4</f>
      </c>
    </row>
    <row x14ac:dyDescent="0.25" r="35" customHeight="1" ht="18" customFormat="1" s="1">
      <c r="A35" s="2" t="s">
        <v>72</v>
      </c>
      <c r="B35" s="3" t="s">
        <v>73</v>
      </c>
      <c r="C35" s="4" t="s">
        <v>5</v>
      </c>
      <c r="D35" s="5">
        <v>84</v>
      </c>
      <c r="E35" s="5">
        <v>74</v>
      </c>
      <c r="F35" s="5">
        <v>87</v>
      </c>
      <c r="G35" s="5">
        <v>63</v>
      </c>
      <c r="H35" s="5">
        <v>99</v>
      </c>
      <c r="I35" s="5">
        <v>60</v>
      </c>
      <c r="J35" s="5">
        <v>92</v>
      </c>
      <c r="K35" s="5">
        <v>84</v>
      </c>
      <c r="L35" s="6">
        <v>80</v>
      </c>
      <c r="M35" s="7">
        <f>D35*0.1+E35*0.05+F35*0.05+G35*0.2+H35*0.05+I35*0.05+J35*0.05+K35*0.05+L35*0.4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调整成绩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2025-06-25T02:45:24.709Z</dcterms:created>
  <dcterms:modified xsi:type="dcterms:W3CDTF">2025-06-25T02:45:24.709Z</dcterms:modified>
</cp:coreProperties>
</file>